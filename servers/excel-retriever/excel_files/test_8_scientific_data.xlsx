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Laboratory Test Results - Batch #2024-03</t>
        </is>
      </c>
    </row>
    <row r="2">
      <c r="A2" s="2" t="inlineStr">
        <is>
          <t>Note: All measurements taken at 25°C, 1 atm pressure</t>
        </is>
      </c>
    </row>
    <row r="4">
      <c r="A4" s="1" t="inlineStr">
        <is>
          <t>Chemical Composition Analysis</t>
        </is>
      </c>
    </row>
    <row r="5">
      <c r="A5" s="1" t="inlineStr">
        <is>
          <t>Sample ID</t>
        </is>
      </c>
      <c r="B5" s="1" t="inlineStr">
        <is>
          <t>pH</t>
        </is>
      </c>
      <c r="C5" s="1" t="inlineStr">
        <is>
          <t>Concentration (mg/L)</t>
        </is>
      </c>
      <c r="D5" s="1" t="inlineStr">
        <is>
          <t>Temperature (°C)</t>
        </is>
      </c>
      <c r="E5" s="1" t="inlineStr">
        <is>
          <t>Status</t>
        </is>
      </c>
    </row>
    <row r="6">
      <c r="A6" t="inlineStr">
        <is>
          <t>S001</t>
        </is>
      </c>
      <c r="B6" t="n">
        <v>7.2</v>
      </c>
      <c r="C6" t="n">
        <v>45.3</v>
      </c>
      <c r="D6" t="n">
        <v>25.1</v>
      </c>
      <c r="E6" t="inlineStr">
        <is>
          <t>Pass</t>
        </is>
      </c>
    </row>
    <row r="7">
      <c r="A7" t="inlineStr">
        <is>
          <t>S002</t>
        </is>
      </c>
      <c r="B7" t="n">
        <v>6.8</v>
      </c>
      <c r="C7" t="n">
        <v>52.7</v>
      </c>
      <c r="D7" t="n">
        <v>24.9</v>
      </c>
      <c r="E7" t="inlineStr">
        <is>
          <t>Pass</t>
        </is>
      </c>
    </row>
    <row r="8">
      <c r="A8" t="inlineStr">
        <is>
          <t>S003</t>
        </is>
      </c>
      <c r="B8" t="n">
        <v>7.5</v>
      </c>
      <c r="C8" t="n">
        <v>48.1</v>
      </c>
      <c r="D8" t="n">
        <v>25.3</v>
      </c>
      <c r="E8" t="inlineStr">
        <is>
          <t>Pass</t>
        </is>
      </c>
    </row>
    <row r="9">
      <c r="A9" t="inlineStr">
        <is>
          <t>S004</t>
        </is>
      </c>
      <c r="B9" t="n">
        <v>8.1</v>
      </c>
      <c r="C9" t="n">
        <v>61.2</v>
      </c>
      <c r="D9" t="n">
        <v>25</v>
      </c>
      <c r="E9" t="inlineStr">
        <is>
          <t>Retest</t>
        </is>
      </c>
    </row>
    <row r="10">
      <c r="A10" t="inlineStr">
        <is>
          <t>S005</t>
        </is>
      </c>
      <c r="B10" t="n">
        <v>7</v>
      </c>
      <c r="C10" t="n">
        <v>43.8</v>
      </c>
      <c r="D10" t="n">
        <v>25.2</v>
      </c>
      <c r="E10" t="inlineStr">
        <is>
          <t>Pass</t>
        </is>
      </c>
    </row>
    <row r="13">
      <c r="A13" s="1" t="inlineStr">
        <is>
          <t>Statistical Summary</t>
        </is>
      </c>
    </row>
    <row r="14">
      <c r="A14" s="1" t="inlineStr">
        <is>
          <t>Metric</t>
        </is>
      </c>
      <c r="B14" s="1" t="inlineStr">
        <is>
          <t>pH</t>
        </is>
      </c>
      <c r="C14" s="1" t="inlineStr">
        <is>
          <t>Concentration (mg/L)</t>
        </is>
      </c>
      <c r="D14" s="1" t="inlineStr">
        <is>
          <t>Temperature (°C)</t>
        </is>
      </c>
    </row>
    <row r="15">
      <c r="A15" t="inlineStr">
        <is>
          <t>Mean</t>
        </is>
      </c>
      <c r="B15">
        <f>AVERAGE(B6:B10)</f>
        <v/>
      </c>
      <c r="C15">
        <f>AVERAGE(C6:C10)</f>
        <v/>
      </c>
      <c r="D15">
        <f>AVERAGE(D6:D10)</f>
        <v/>
      </c>
    </row>
    <row r="16">
      <c r="A16" t="inlineStr">
        <is>
          <t>Std Dev</t>
        </is>
      </c>
      <c r="B16">
        <f>STDEV(B6:B10)</f>
        <v/>
      </c>
      <c r="C16">
        <f>STDEV(C6:C10)</f>
        <v/>
      </c>
      <c r="D16">
        <f>STDEV(D6:D10)</f>
        <v/>
      </c>
    </row>
    <row r="17">
      <c r="A17" t="inlineStr">
        <is>
          <t>Min</t>
        </is>
      </c>
      <c r="B17">
        <f>MIN(B6:B10)</f>
        <v/>
      </c>
      <c r="C17">
        <f>MIN(C6:C10)</f>
        <v/>
      </c>
      <c r="D17">
        <f>MIN(D6:D10)</f>
        <v/>
      </c>
    </row>
    <row r="18">
      <c r="A18" t="inlineStr">
        <is>
          <t>Max</t>
        </is>
      </c>
      <c r="B18">
        <f>MAX(B6:B10)</f>
        <v/>
      </c>
      <c r="C18">
        <f>MAX(C6:C10)</f>
        <v/>
      </c>
      <c r="D18">
        <f>MAX(D6:D10)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